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ff1e84049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ex A" sheetId="1" r:id="R7350a939480a4903"/>
    <x:sheet xmlns:r="http://schemas.openxmlformats.org/officeDocument/2006/relationships" name="Reconciliation" sheetId="2" r:id="R2b5577fa0cc44a29"/>
    <x:sheet xmlns:r="http://schemas.openxmlformats.org/officeDocument/2006/relationships" name="Sources" sheetId="3" r:id="R1da3f9244c8d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72B3A"/>
      <x:name val="Aptos"/>
    </x:font>
    <x:font>
      <x:sz val="10"/>
      <x:color rgb="FF172B3A"/>
      <x:name val="Aptos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color rgb="FF172B3A"/>
      <x:name val="Carlito"/>
    </x:font>
    <x:font>
      <x:sz val="11"/>
      <x:color rgb="FF172B3A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E9F4F5"/>
      </x:patternFill>
    </x:fill>
    <x:fill>
      <x:patternFill patternType="solid">
        <x:fgColor rgb="FFE6F4EA"/>
      </x:patternFill>
    </x:fill>
  </x:fills>
  <x:borders count="13">
    <x:border/>
    <x:border>
      <x:right style="thin">
        <x:color rgb="FF7E98AA"/>
      </x:right>
    </x:border>
    <x:border>
      <x:left style="thin">
        <x:color rgb="FF7E98AA"/>
      </x:left>
      <x:right style="thin">
        <x:color rgb="FF7E98AA"/>
      </x:right>
    </x:border>
    <x:border>
      <x:left style="thin">
        <x:color rgb="FF7E98AA"/>
      </x:left>
    </x:border>
    <x:border>
      <x:bottom style="thin">
        <x:color rgb="FFD7E1E8"/>
      </x:bottom>
    </x:border>
    <x:border>
      <x:top style="thin">
        <x:color rgb="FFD7E1E8"/>
      </x:top>
      <x:bottom style="thin">
        <x:color rgb="FFD7E1E8"/>
      </x:bottom>
    </x:border>
    <x:border>
      <x:top style="thin">
        <x:color rgb="FFD7E1E8"/>
      </x:top>
    </x:border>
    <x:border>
      <x:right style="thin">
        <x:color rgb="FF7E98AA"/>
      </x:right>
      <x:bottom style="thin">
        <x:color rgb="FFC9D8E2"/>
      </x:bottom>
    </x:border>
    <x:border>
      <x:left style="thin">
        <x:color rgb="FF7E98AA"/>
      </x:left>
      <x:right style="thin">
        <x:color rgb="FF7E98AA"/>
      </x:right>
      <x:bottom style="thin">
        <x:color rgb="FFC9D8E2"/>
      </x:bottom>
    </x:border>
    <x:border>
      <x:top style="thin">
        <x:color rgb="FFC9D8E2"/>
      </x:top>
      <x:bottom style="thin">
        <x:color rgb="FFC9D8E2"/>
      </x:bottom>
    </x:border>
    <x:border>
      <x:right style="thin">
        <x:color rgb="FF7E98AA"/>
      </x:right>
      <x:top style="thin">
        <x:color rgb="FFC9D8E2"/>
      </x:top>
      <x:bottom style="thin">
        <x:color rgb="FFC9D8E2"/>
      </x:bottom>
    </x:border>
    <x:border>
      <x:top style="thin">
        <x:color rgb="FFC9D8E2"/>
      </x:top>
    </x:border>
    <x:border>
      <x:right style="thin">
        <x:color rgb="FF7E98AA"/>
      </x:right>
      <x:top style="thin">
        <x:color rgb="FFC9D8E2"/>
      </x:top>
    </x:border>
  </x:borders>
  <x:cellStyleXfs count="1">
    <x:xf numFmtId="0" fontId="0" fillId="0" borderId="0"/>
  </x:cellStyleXfs>
  <x:cellXfs count="66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0" fontId="1" fillId="2" borderId="2" xfId="0" applyNumberFormat="1" applyFont="1" applyFill="1" applyBorder="1"/>
    <x:xf numFmtId="200" fontId="1" fillId="2" borderId="3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1" fillId="2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center" wrapText="1"/>
    </x:xf>
    <x:xf numFmtId="200" fontId="1" fillId="2" borderId="3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/>
    <x:xf numFmtId="200" fontId="4" fillId="2" borderId="1" xfId="0" applyNumberFormat="1" applyFont="1" applyFill="1" applyBorder="1" applyAlignment="1">
      <x:alignment vertical="center" wrapText="1"/>
    </x:xf>
    <x:xf numFmtId="200" fontId="4" fillId="2" borderId="2" xfId="0" applyNumberFormat="1" applyFont="1" applyFill="1" applyBorder="1" applyAlignment="1">
      <x:alignment vertical="center" wrapText="1"/>
    </x:xf>
    <x:xf numFmtId="200" fontId="4" fillId="2" borderId="3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/>
    <x:xf numFmtId="200" fontId="3" fillId="0" borderId="5" xfId="0" applyNumberFormat="1" applyFont="1" applyFill="1" applyBorder="1"/>
    <x:xf numFmtId="200" fontId="3" fillId="0" borderId="6" xfId="0" applyNumberFormat="1" applyFont="1" applyFill="1" applyBorder="1"/>
    <x:xf numFmtId="200" fontId="3" fillId="0" borderId="4" xfId="0" applyNumberFormat="1" applyFont="1" applyFill="1" applyBorder="1" applyAlignment="1">
      <x:alignment wrapText="1"/>
    </x:xf>
    <x:xf numFmtId="200" fontId="3" fillId="0" borderId="5" xfId="0" applyNumberFormat="1" applyFont="1" applyFill="1" applyBorder="1" applyAlignment="1">
      <x:alignment wrapText="1"/>
    </x:xf>
    <x:xf numFmtId="200" fontId="3" fillId="0" borderId="6" xfId="0" applyNumberFormat="1" applyFont="1" applyFill="1" applyBorder="1" applyAlignment="1">
      <x:alignment wrapText="1"/>
    </x:xf>
    <x:xf numFmtId="200" fontId="3" fillId="0" borderId="4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horizontal="center" vertical="top" wrapText="1"/>
    </x:xf>
    <x:xf numFmtId="200" fontId="3" fillId="0" borderId="5" xfId="0" applyNumberFormat="1" applyFont="1" applyFill="1" applyBorder="1" applyAlignment="1">
      <x:alignment horizontal="center" vertical="top" wrapText="1"/>
    </x:xf>
    <x:xf numFmtId="200" fontId="3" fillId="0" borderId="6" xfId="0" applyNumberFormat="1" applyFont="1" applyFill="1" applyBorder="1" applyAlignment="1">
      <x:alignment horizontal="center" vertical="top" wrapText="1"/>
    </x:xf>
    <x:xf numFmtId="200" fontId="3" fillId="0" borderId="4" xfId="0" applyNumberFormat="1" applyFont="1" applyFill="1" applyBorder="1" applyAlignment="1">
      <x:alignment horizontal="right" vertical="top" wrapText="1"/>
    </x:xf>
    <x:xf numFmtId="200" fontId="3" fillId="0" borderId="5" xfId="0" applyNumberFormat="1" applyFont="1" applyFill="1" applyBorder="1" applyAlignment="1">
      <x:alignment horizontal="right" vertical="top" wrapText="1"/>
    </x:xf>
    <x:xf numFmtId="200" fontId="3" fillId="0" borderId="6" xfId="0" applyNumberFormat="1" applyFont="1" applyFill="1" applyBorder="1" applyAlignment="1">
      <x:alignment horizontal="right" vertical="top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1" fillId="2" borderId="7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/>
    <x:xf numFmtId="0" fontId="7" fillId="0" borderId="10" xfId="0" applyNumberFormat="1" applyFont="1" applyFill="1" applyBorder="1"/>
    <x:xf numFmtId="0" fontId="6" fillId="3" borderId="11" xfId="0" applyNumberFormat="1" applyFont="1" applyFill="1" applyBorder="1"/>
    <x:xf numFmtId="0" fontId="7" fillId="0" borderId="12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319d700dc4044" /><Relationship Type="http://schemas.openxmlformats.org/officeDocument/2006/relationships/theme" Target="/xl/theme/theme1.xml" Id="R6f1a056820cf41c2" /><Relationship Type="http://schemas.openxmlformats.org/officeDocument/2006/relationships/sharedStrings" Target="/xl/sharedStrings.xml" Id="Rbe64469da9f4475c" /><Relationship Type="http://schemas.openxmlformats.org/officeDocument/2006/relationships/worksheet" Target="/xl/worksheets/sheet1.xml" Id="R7350a939480a4903" /><Relationship Type="http://schemas.openxmlformats.org/officeDocument/2006/relationships/worksheet" Target="/xl/worksheets/sheet2.xml" Id="R2b5577fa0cc44a29" /><Relationship Type="http://schemas.openxmlformats.org/officeDocument/2006/relationships/worksheet" Target="/xl/worksheets/sheet3.xml" Id="R1da3f9244c8d47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31" hidden="0" customWidth="1"/>
    <x:col min="4" max="4" width="24" hidden="0" customWidth="1"/>
    <x:col min="5" max="5" width="32" hidden="0" customWidth="1"/>
    <x:col min="6" max="6" width="25" hidden="0" customWidth="1"/>
    <x:col min="7" max="7" width="25" hidden="0" customWidth="1"/>
    <x:col min="8" max="8" width="25" hidden="0" customWidth="1"/>
    <x:col min="9" max="9" width="43" hidden="0" customWidth="1"/>
    <x:col min="10" max="10" width="28" hidden="0" customWidth="1"/>
    <x:col min="11" max="11" width="28" hidden="0" customWidth="1"/>
    <x:col min="12" max="12" width="28" hidden="0" customWidth="1"/>
    <x:col min="13" max="13" width="66" hidden="0" customWidth="1"/>
    <x:col min="14" max="14" width="52" hidden="0" customWidth="1"/>
  </x:cols>
  <x:sheetData>
    <x:row r="1" ht="15" hidden="0" customHeight="1">
      <x:c r="A1" s="17" t="str">
        <x:v>Rank</x:v>
      </x:c>
      <x:c r="B1" s="18" t="str">
        <x:v>Wallet Address</x:v>
      </x:c>
      <x:c r="C1" s="18" t="str">
        <x:v>Token Balance KGEN</x:v>
      </x:c>
      <x:c r="D1" s="18" t="str">
        <x:v>Percentage of Total Supply</x:v>
      </x:c>
      <x:c r="E1" s="18" t="str">
        <x:v>Wallet or Entity Label</x:v>
      </x:c>
      <x:c r="F1" s="18" t="str">
        <x:v>Classification</x:v>
      </x:c>
      <x:c r="G1" s="18" t="str">
        <x:v>Circulating Status</x:v>
      </x:c>
      <x:c r="H1" s="18" t="str">
        <x:v>Exclusion Status</x:v>
      </x:c>
      <x:c r="I1" s="18" t="str">
        <x:v>Exclusion Reason</x:v>
      </x:c>
      <x:c r="J1" s="18" t="str">
        <x:v>Lock Status</x:v>
      </x:c>
      <x:c r="K1" s="18" t="str">
        <x:v>Vesting Status</x:v>
      </x:c>
      <x:c r="L1" s="18" t="str">
        <x:v>Project Control Status</x:v>
      </x:c>
      <x:c r="M1" s="18" t="str">
        <x:v>BscScan Evidence URL</x:v>
      </x:c>
      <x:c r="N1" s="19" t="str">
        <x:v>Notes</x:v>
      </x:c>
    </x:row>
    <x:row r="2" ht="24" hidden="0" customHeight="1">
      <x:c r="A2" s="29" t="str">
        <x:v>1</x:v>
      </x:c>
      <x:c r="B2" s="26" t="str">
        <x:f>"0xb3c54ca96de0ded4ca0151f629ff9781506ba261"</x:f>
        <x:v>0xb3c54ca96de0ded4ca0151f629ff9781506ba261</x:v>
      </x:c>
      <x:c r="C2" s="32" t="str">
        <x:f>"41775638.372417177049704684"</x:f>
        <x:v>41775638.372417177049704684</x:v>
      </x:c>
      <x:c r="D2" s="32" t="str">
        <x:f>"58.0374337692887326%"</x:f>
        <x:v>58.0374337692887326%</x:v>
      </x:c>
      <x:c r="E2" s="26" t="str">
        <x:v>Contract owner and original mint recipient</x:v>
      </x:c>
      <x:c r="F2" s="26" t="str">
        <x:v>FOUNDER_OR_TEAM_CONTROLLED</x:v>
      </x:c>
      <x:c r="G2" s="26" t="str">
        <x:v>NON_CIRCULATING</x:v>
      </x:c>
      <x:c r="H2" s="26" t="str">
        <x:v>EXCLUDED</x:v>
      </x:c>
      <x:c r="I2" s="26" t="str">
        <x:v>Current on-chain owner and original mint recipient</x:v>
      </x:c>
      <x:c r="J2" s="26" t="str">
        <x:v>NOT_EVIDENCED</x:v>
      </x:c>
      <x:c r="K2" s="26" t="str">
        <x:v>NOT_EVIDENCED</x:v>
      </x:c>
      <x:c r="L2" s="26" t="str">
        <x:v>PROJECT_CONTROLLED</x:v>
      </x:c>
      <x:c r="M2" s="26" t="str">
        <x:v>https://bscscan.com/token/0xba3d3810e58735cb6813bc1cdc5458c0d71432be?a=0xb3c54ca96de0ded4ca0151f629ff9781506ba261</x:v>
      </x:c>
      <x:c r="N2" s="26" t="str">
        <x:v>Frozen at BSC block 112570686</x:v>
      </x:c>
    </x:row>
    <x:row r="3" ht="24" hidden="0" customHeight="1">
      <x:c r="A3" s="30" t="str">
        <x:v>2</x:v>
      </x:c>
      <x:c r="B3" s="27" t="str">
        <x:f>"0xe87f6975fa3d4f3d56dce49fc978884285a3ed85"</x:f>
        <x:v>0xe87f6975fa3d4f3d56dce49fc978884285a3ed85</x:v>
      </x:c>
      <x:c r="C3" s="33" t="str">
        <x:f>"7808747.10694108714818062"</x:f>
        <x:v>7808747.10694108714818062</x:v>
      </x:c>
      <x:c r="D3" s="33" t="str">
        <x:f>"10.8484193347347715%"</x:f>
        <x:v>10.8484193347347715%</x:v>
      </x:c>
      <x:c r="E3" s="27" t="str">
        <x:v>autoLPWallet reserve</x:v>
      </x:c>
      <x:c r="F3" s="27" t="str">
        <x:v>TREASURY</x:v>
      </x:c>
      <x:c r="G3" s="27" t="str">
        <x:v>NON_CIRCULATING</x:v>
      </x:c>
      <x:c r="H3" s="27" t="str">
        <x:v>EXCLUDED</x:v>
      </x:c>
      <x:c r="I3" s="27" t="str">
        <x:v>Current on-chain autoLPWallet and project-controlled allocation</x:v>
      </x:c>
      <x:c r="J3" s="27" t="str">
        <x:v>NOT_EVIDENCED</x:v>
      </x:c>
      <x:c r="K3" s="27" t="str">
        <x:v>NOT_EVIDENCED</x:v>
      </x:c>
      <x:c r="L3" s="27" t="str">
        <x:v>PROJECT_CONTROLLED</x:v>
      </x:c>
      <x:c r="M3" s="27" t="str">
        <x:v>https://bscscan.com/token/0xba3d3810e58735cb6813bc1cdc5458c0d71432be?a=0xe87f6975fa3d4f3d56dce49fc978884285a3ed85</x:v>
      </x:c>
      <x:c r="N3" s="27" t="str">
        <x:v>Frozen at BSC block 112570686</x:v>
      </x:c>
    </x:row>
    <x:row r="4" ht="24" hidden="0" customHeight="1">
      <x:c r="A4" s="30" t="str">
        <x:v>3</x:v>
      </x:c>
      <x:c r="B4" s="27" t="str">
        <x:f>"0xfa4d34c46e86058e672936fa03cfd79f4c7a4b3c"</x:f>
        <x:v>0xfa4d34c46e86058e672936fa03cfd79f4c7a4b3c</x:v>
      </x:c>
      <x:c r="C4" s="33" t="str">
        <x:f>"7219494.213882174296359"</x:f>
        <x:v>7219494.213882174296359</x:v>
      </x:c>
      <x:c r="D4" s="33" t="str">
        <x:f>"10.0297908927371379%"</x:f>
        <x:v>10.0297908927371379%</x:v>
      </x:c>
      <x:c r="E4" s="27" t="str">
        <x:v>bankWallet</x:v>
      </x:c>
      <x:c r="F4" s="27" t="str">
        <x:v>BANK</x:v>
      </x:c>
      <x:c r="G4" s="27" t="str">
        <x:v>NON_CIRCULATING</x:v>
      </x:c>
      <x:c r="H4" s="27" t="str">
        <x:v>EXCLUDED</x:v>
      </x:c>
      <x:c r="I4" s="27" t="str">
        <x:v>Current on-chain bankWallet</x:v>
      </x:c>
      <x:c r="J4" s="27" t="str">
        <x:v>NOT_EVIDENCED</x:v>
      </x:c>
      <x:c r="K4" s="27" t="str">
        <x:v>NOT_EVIDENCED</x:v>
      </x:c>
      <x:c r="L4" s="27" t="str">
        <x:v>PROJECT_CONTROLLED</x:v>
      </x:c>
      <x:c r="M4" s="27" t="str">
        <x:v>https://bscscan.com/token/0xba3d3810e58735cb6813bc1cdc5458c0d71432be?a=0xfa4d34c46e86058e672936fa03cfd79f4c7a4b3c</x:v>
      </x:c>
      <x:c r="N4" s="27" t="str">
        <x:v>Frozen at BSC block 112570686</x:v>
      </x:c>
    </x:row>
    <x:row r="5" ht="24" hidden="0" customHeight="1">
      <x:c r="A5" s="30" t="str">
        <x:v>4</x:v>
      </x:c>
      <x:c r="B5" s="27" t="str">
        <x:f>"0x0fd21cf643211d067a18a416da219827da26e288"</x:f>
        <x:v>0x0fd21cf643211d067a18a416da219827da26e288</x:v>
      </x:c>
      <x:c r="C5" s="33" t="str">
        <x:f>"7209747.106941087148179274"</x:f>
        <x:v>7209747.106941087148179274</x:v>
      </x:c>
      <x:c r="D5" s="33" t="str">
        <x:f>"10.0162495778566207%"</x:f>
        <x:v>10.0162495778566207%</x:v>
      </x:c>
      <x:c r="E5" s="27" t="str">
        <x:v>rewardWallet</x:v>
      </x:c>
      <x:c r="F5" s="27" t="str">
        <x:v>REWARD</x:v>
      </x:c>
      <x:c r="G5" s="27" t="str">
        <x:v>NON_CIRCULATING</x:v>
      </x:c>
      <x:c r="H5" s="27" t="str">
        <x:v>EXCLUDED</x:v>
      </x:c>
      <x:c r="I5" s="27" t="str">
        <x:v>Current on-chain rewardWallet</x:v>
      </x:c>
      <x:c r="J5" s="27" t="str">
        <x:v>NOT_EVIDENCED</x:v>
      </x:c>
      <x:c r="K5" s="27" t="str">
        <x:v>NOT_EVIDENCED</x:v>
      </x:c>
      <x:c r="L5" s="27" t="str">
        <x:v>PROJECT_CONTROLLED</x:v>
      </x:c>
      <x:c r="M5" s="27" t="str">
        <x:v>https://bscscan.com/token/0xba3d3810e58735cb6813bc1cdc5458c0d71432be?a=0x0fd21cf643211d067a18a416da219827da26e288</x:v>
      </x:c>
      <x:c r="N5" s="27" t="str">
        <x:v>Frozen at BSC block 112570686</x:v>
      </x:c>
    </x:row>
    <x:row r="6" ht="24" hidden="0" customHeight="1">
      <x:c r="A6" s="30" t="str">
        <x:v>5</x:v>
      </x:c>
      <x:c r="B6" s="27" t="str">
        <x:f>"0xcd60bf474e691f2484950a0276eaf507616ca4b9"</x:f>
        <x:v>0xcd60bf474e691f2484950a0276eaf507616ca4b9</x:v>
      </x:c>
      <x:c r="C6" s="33" t="str">
        <x:f>"3600000"</x:f>
        <x:v>3600000</x:v>
      </x:c>
      <x:c r="D6" s="33" t="str">
        <x:f>"5.0013541314880517%"</x:f>
        <x:v>5.0013541314880517%</x:v>
      </x:c>
      <x:c r="E6" s="27" t="str">
        <x:v>MOTHER repository reference</x:v>
      </x:c>
      <x:c r="F6" s="27" t="str">
        <x:v>FOUNDER_OR_TEAM_CONTROLLED</x:v>
      </x:c>
      <x:c r="G6" s="27" t="str">
        <x:v>NON_CIRCULATING</x:v>
      </x:c>
      <x:c r="H6" s="27" t="str">
        <x:v>EXCLUDED</x:v>
      </x:c>
      <x:c r="I6" s="27" t="str">
        <x:v>Repository runtime records identify this address as MOTHER</x:v>
      </x:c>
      <x:c r="J6" s="27" t="str">
        <x:v>NOT_EVIDENCED</x:v>
      </x:c>
      <x:c r="K6" s="27" t="str">
        <x:v>NOT_EVIDENCED</x:v>
      </x:c>
      <x:c r="L6" s="27" t="str">
        <x:v>PROJECT_CONTROLLED</x:v>
      </x:c>
      <x:c r="M6" s="27" t="str">
        <x:v>https://bscscan.com/token/0xba3d3810e58735cb6813bc1cdc5458c0d71432be?a=0xcd60bf474e691f2484950a0276eaf507616ca4b9</x:v>
      </x:c>
      <x:c r="N6" s="27" t="str">
        <x:v>Frozen at BSC block 112570686</x:v>
      </x:c>
    </x:row>
    <x:row r="7" ht="24" hidden="0" customHeight="1">
      <x:c r="A7" s="30" t="str">
        <x:v>6</x:v>
      </x:c>
      <x:c r="B7" s="27" t="str">
        <x:f>"0xf36640d7327b53ba3d7fcc1d98dfc1b85574b6c2"</x:f>
        <x:v>0xf36640d7327b53ba3d7fcc1d98dfc1b85574b6c2</x:v>
      </x:c>
      <x:c r="C7" s="33" t="str">
        <x:f>"1060310.050838289978556142"</x:f>
        <x:v>1060310.050838289978556142</x:v>
      </x:c>
      <x:c r="D7" s="33" t="str">
        <x:f>"1.4730516815051077%"</x:f>
        <x:v>1.4730516815051077%</x:v>
      </x:c>
      <x:c r="E7" s="27" t="str">
        <x:v>PancakeSwap V2 KGEN/WBNB pair</x:v>
      </x:c>
      <x:c r="F7" s="27" t="str">
        <x:v>LIQUIDITY_POOL</x:v>
      </x:c>
      <x:c r="G7" s="27" t="str">
        <x:v>CIRCULATING</x:v>
      </x:c>
      <x:c r="H7" s="27" t="str">
        <x:v>INCLUDED</x:v>
      </x:c>
      <x:c r="I7" s="27" t="str">
        <x:v>Public AMM liquidity is available to the market</x:v>
      </x:c>
      <x:c r="J7" s="27" t="str">
        <x:v>LP_TOKEN_LOCK_SEPARATE_FROM_KGEN_BALANCE</x:v>
      </x:c>
      <x:c r="K7" s="27" t="str">
        <x:v>NOT_APPLICABLE</x:v>
      </x:c>
      <x:c r="L7" s="27" t="str">
        <x:v>NOT_PROJECT_CONTROLLED_BY_CLASSIFICATION</x:v>
      </x:c>
      <x:c r="M7" s="27" t="str">
        <x:v>https://bscscan.com/token/0xba3d3810e58735cb6813bc1cdc5458c0d71432be?a=0xf36640d7327b53ba3d7fcc1d98dfc1b85574b6c2</x:v>
      </x:c>
      <x:c r="N7" s="27" t="str">
        <x:v>LP-token ownership is separate from the KGEN balance in the pair</x:v>
      </x:c>
    </x:row>
    <x:row r="8" ht="24" hidden="0" customHeight="1">
      <x:c r="A8" s="30" t="str">
        <x:v>7</x:v>
      </x:c>
      <x:c r="B8" s="27" t="str">
        <x:f>"0xb73d6716005b37bec742d64482fa26033ee1a4e1"</x:f>
        <x:v>0xb73d6716005b37bec742d64482fa26033ee1a4e1</x:v>
      </x:c>
      <x:c r="C8" s="33" t="str">
        <x:f>"735378.46758893646604062"</x:f>
        <x:v>735378.46758893646604062</x:v>
      </x:c>
      <x:c r="D8" s="33" t="str">
        <x:f>"1.0216355936342444%"</x:f>
        <x:v>1.0216355936342444%</x:v>
      </x:c>
      <x:c r="E8" s="27" t="str">
        <x:v>Unclassified major holder</x:v>
      </x:c>
      <x:c r="F8" s="27" t="str">
        <x:v>UNKNOWN</x:v>
      </x:c>
      <x:c r="G8" s="27" t="str">
        <x:v>NON_CIRCULATING</x:v>
      </x:c>
      <x:c r="H8" s="27" t="str">
        <x:v>EXCLUDED</x:v>
      </x:c>
      <x:c r="I8" s="27" t="str">
        <x:v>Public-float and control evidence not recorded</x:v>
      </x:c>
      <x:c r="J8" s="27" t="str">
        <x:v>NOT_EVIDENCED</x:v>
      </x:c>
      <x:c r="K8" s="27" t="str">
        <x:v>NOT_EVIDENCED</x:v>
      </x:c>
      <x:c r="L8" s="27" t="str">
        <x:v>UNKNOWN</x:v>
      </x:c>
      <x:c r="M8" s="27" t="str">
        <x:v>https://bscscan.com/token/0xba3d3810e58735cb6813bc1cdc5458c0d71432be?a=0xb73d6716005b37bec742d64482fa26033ee1a4e1</x:v>
      </x:c>
      <x:c r="N8" s="27" t="str">
        <x:v>Excluded conservatively</x:v>
      </x:c>
    </x:row>
    <x:row r="9" ht="24" hidden="0" customHeight="1">
      <x:c r="A9" s="30" t="str">
        <x:v>8</x:v>
      </x:c>
      <x:c r="B9" s="27" t="str">
        <x:f>"0xef83804c264b47378fcf150086943b53fb90a90b"</x:f>
        <x:v>0xef83804c264b47378fcf150086943b53fb90a90b</x:v>
      </x:c>
      <x:c r="C9" s="33" t="str">
        <x:f>"734989.145708089993065291"</x:f>
        <x:v>734989.145708089993065291</x:v>
      </x:c>
      <x:c r="D9" s="33" t="str">
        <x:f>"1.0210947223572304%"</x:f>
        <x:v>1.0210947223572304%</x:v>
      </x:c>
      <x:c r="E9" s="27" t="str">
        <x:v>Unclassified major holder</x:v>
      </x:c>
      <x:c r="F9" s="27" t="str">
        <x:v>UNKNOWN</x:v>
      </x:c>
      <x:c r="G9" s="27" t="str">
        <x:v>NON_CIRCULATING</x:v>
      </x:c>
      <x:c r="H9" s="27" t="str">
        <x:v>EXCLUDED</x:v>
      </x:c>
      <x:c r="I9" s="27" t="str">
        <x:v>Public-float and control evidence not recorded</x:v>
      </x:c>
      <x:c r="J9" s="27" t="str">
        <x:v>NOT_EVIDENCED</x:v>
      </x:c>
      <x:c r="K9" s="27" t="str">
        <x:v>NOT_EVIDENCED</x:v>
      </x:c>
      <x:c r="L9" s="27" t="str">
        <x:v>UNKNOWN</x:v>
      </x:c>
      <x:c r="M9" s="27" t="str">
        <x:v>https://bscscan.com/token/0xba3d3810e58735cb6813bc1cdc5458c0d71432be?a=0xef83804c264b47378fcf150086943b53fb90a90b</x:v>
      </x:c>
      <x:c r="N9" s="27" t="str">
        <x:v>Excluded conservatively</x:v>
      </x:c>
    </x:row>
    <x:row r="10" ht="24" hidden="0" customHeight="1">
      <x:c r="A10" s="30" t="str">
        <x:v>AGGREGATE</x:v>
      </x:c>
      <x:c r="B10" s="27" t="str">
        <x:f>"AGGREGATED_HOLDERS_BELOW_1_PERCENT"</x:f>
        <x:v>AGGREGATED_HOLDERS_BELOW_1_PERCENT</x:v>
      </x:c>
      <x:c r="C10" s="33" t="str">
        <x:f>"1836201.321800983623555369"</x:f>
        <x:v>1836201.321800983623555369</x:v>
      </x:c>
      <x:c r="D10" s="33" t="str">
        <x:f>"2.5509702963981031%"</x:f>
        <x:v>2.5509702963981031%</x:v>
      </x:c>
      <x:c r="E10" s="27" t="str">
        <x:v>Other holders below major-holder threshold</x:v>
      </x:c>
      <x:c r="F10" s="27" t="str">
        <x:v>PUBLIC_CIRCULATING</x:v>
      </x:c>
      <x:c r="G10" s="27" t="str">
        <x:v>CIRCULATING</x:v>
      </x:c>
      <x:c r="H10" s="27" t="str">
        <x:v>INCLUDED</x:v>
      </x:c>
      <x:c r="I10" s="27" t="str">
        <x:v>No project-control evidence in the verified major-holder review</x:v>
      </x:c>
      <x:c r="J10" s="27" t="str">
        <x:v>NOT_EVIDENCED</x:v>
      </x:c>
      <x:c r="K10" s="27" t="str">
        <x:v>NOT_EVIDENCED</x:v>
      </x:c>
      <x:c r="L10" s="27" t="str">
        <x:v>NOT_EVIDENCED</x:v>
      </x:c>
      <x:c r="M10" s="27" t="str">
        <x:v>https://bscscan.com/token/0xba3d3810e58735cb6813bc1cdc5458c0d71432be#balances</x:v>
      </x:c>
      <x:c r="N10" s="27" t="str">
        <x:v>Aggregate derived as circulating supply minus public AMM liquidity</x:v>
      </x:c>
    </x:row>
    <x:row r="11" ht="24" hidden="0" customHeight="1">
      <x:c r="A11" s="30" t="str">
        <x:v>N/A</x:v>
      </x:c>
      <x:c r="B11" s="27" t="str">
        <x:f>"0x0000000000000000000000000000000000000000"</x:f>
        <x:v>0x0000000000000000000000000000000000000000</x:v>
      </x:c>
      <x:c r="C11" s="33" t="str">
        <x:f>"0"</x:f>
        <x:v>0</x:v>
      </x:c>
      <x:c r="D11" s="33" t="str">
        <x:f>"0%"</x:f>
        <x:v>0%</x:v>
      </x:c>
      <x:c r="E11" s="27" t="str">
        <x:v>Burn address</x:v>
      </x:c>
      <x:c r="F11" s="27" t="str">
        <x:v>BURN_ADDRESS</x:v>
      </x:c>
      <x:c r="G11" s="27" t="str">
        <x:v>NON_CIRCULATING</x:v>
      </x:c>
      <x:c r="H11" s="27" t="str">
        <x:v>EXCLUDED</x:v>
      </x:c>
      <x:c r="I11" s="27" t="str">
        <x:v>Burns reduce totalSupply and are not subtracted twice</x:v>
      </x:c>
      <x:c r="J11" s="27" t="str">
        <x:v>NOT_APPLICABLE</x:v>
      </x:c>
      <x:c r="K11" s="27" t="str">
        <x:v>NOT_APPLICABLE</x:v>
      </x:c>
      <x:c r="L11" s="27" t="str">
        <x:v>NOT_PROJECT_CONTROLLED</x:v>
      </x:c>
      <x:c r="M11" s="27" t="str">
        <x:v>https://bscscan.com/token/0xba3d3810e58735cb6813bc1cdc5458c0d71432be?a=0x0000000000000000000000000000000000000000</x:v>
      </x:c>
      <x:c r="N11" s="27" t="str">
        <x:v>Verified current balance is zero</x:v>
      </x:c>
    </x:row>
    <x:row r="12" ht="24" hidden="0" customHeight="1">
      <x:c r="A12" s="31" t="str">
        <x:v>N/A</x:v>
      </x:c>
      <x:c r="B12" s="28" t="str">
        <x:f>"0xba3d3810e58735cb6813bc1cdc5458c0d71432be"</x:f>
        <x:v>0xba3d3810e58735cb6813bc1cdc5458c0d71432be</x:v>
      </x:c>
      <x:c r="C12" s="34" t="str">
        <x:f>"0"</x:f>
        <x:v>0</x:v>
      </x:c>
      <x:c r="D12" s="34" t="str">
        <x:f>"0%"</x:f>
        <x:v>0%</x:v>
      </x:c>
      <x:c r="E12" s="28" t="str">
        <x:v>KGEN token contract</x:v>
      </x:c>
      <x:c r="F12" s="28" t="str">
        <x:v>CONTRACT_HELD</x:v>
      </x:c>
      <x:c r="G12" s="28" t="str">
        <x:v>NON_CIRCULATING</x:v>
      </x:c>
      <x:c r="H12" s="28" t="str">
        <x:v>EXCLUDED</x:v>
      </x:c>
      <x:c r="I12" s="28" t="str">
        <x:v>Any non-zero token-contract-held balance is excluded</x:v>
      </x:c>
      <x:c r="J12" s="28" t="str">
        <x:v>NOT_APPLICABLE</x:v>
      </x:c>
      <x:c r="K12" s="28" t="str">
        <x:v>NOT_APPLICABLE</x:v>
      </x:c>
      <x:c r="L12" s="28" t="str">
        <x:v>CONTRACT</x:v>
      </x:c>
      <x:c r="M12" s="28" t="str">
        <x:v>https://bscscan.com/token/0xba3d3810e58735cb6813bc1cdc5458c0d71432be?a=0xba3d3810e58735cb6813bc1cdc5458c0d71432be</x:v>
      </x:c>
      <x:c r="N12" s="28" t="str">
        <x:v>Verified current balance is zero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35" hidden="0" customWidth="1"/>
    <x:col min="4" max="4" width="20" hidden="0" customWidth="1"/>
  </x:cols>
  <x:sheetData>
    <x:row r="1" ht="19.200000762939453" hidden="0" customHeight="1">
      <x:c r="A1" s="37" t="str">
        <x:v>KGEN CMC Annex A Reconciliation</x:v>
      </x:c>
      <x:c r="B1" s="37" t="str">
        <x:v>KGEN CMC Annex A Reconciliation</x:v>
      </x:c>
      <x:c r="C1" s="37" t="str">
        <x:v>KGEN CMC Annex A Reconciliation</x:v>
      </x:c>
      <x:c r="D1" s="37" t="str">
        <x:v>KGEN CMC Annex A Reconciliation</x:v>
      </x:c>
    </x:row>
    <x:row r="2"/>
    <x:row r="3" ht="15" hidden="0" customHeight="1">
      <x:c r="A3" s="48" t="str">
        <x:v>Field</x:v>
      </x:c>
      <x:c r="B3" s="49" t="str">
        <x:v>Exact Value</x:v>
      </x:c>
    </x:row>
    <x:row r="4" ht="15" hidden="0" customHeight="1">
      <x:c r="A4" s="50" t="str">
        <x:v>Snapshot block</x:v>
      </x:c>
      <x:c r="B4" s="51" t="str">
        <x:v>112570686</x:v>
      </x:c>
    </x:row>
    <x:row r="5" ht="15" hidden="0" customHeight="1">
      <x:c r="A5" s="50" t="str">
        <x:v>Max supply</x:v>
      </x:c>
      <x:c r="B5" s="51" t="str">
        <x:v>72000000</x:v>
      </x:c>
    </x:row>
    <x:row r="6" ht="15" hidden="0" customHeight="1">
      <x:c r="A6" s="50" t="str">
        <x:v>Total supply</x:v>
      </x:c>
      <x:c r="B6" s="51" t="str">
        <x:v>71980505.786117825703641</x:v>
      </x:c>
    </x:row>
    <x:row r="7" ht="15" hidden="0" customHeight="1">
      <x:c r="A7" s="50" t="str">
        <x:v>Circulating supply</x:v>
      </x:c>
      <x:c r="B7" s="51" t="str">
        <x:v>2896511.372639273602111511</x:v>
      </x:c>
    </x:row>
    <x:row r="8" ht="15" hidden="0" customHeight="1">
      <x:c r="A8" s="50" t="str">
        <x:v>Excluded balances</x:v>
      </x:c>
      <x:c r="B8" s="51" t="str">
        <x:v>69083994.413478552101529489</x:v>
      </x:c>
    </x:row>
    <x:row r="9" ht="15" hidden="0" customHeight="1">
      <x:c r="A9" s="50" t="str">
        <x:v>Circulating + excluded</x:v>
      </x:c>
      <x:c r="B9" s="51" t="str">
        <x:v>71980505.786117825703641</x:v>
      </x:c>
    </x:row>
    <x:row r="10" ht="15" hidden="0" customHeight="1">
      <x:c r="A10" s="52" t="str">
        <x:v>Exact reconciliation</x:v>
      </x:c>
      <x:c r="B10" s="53" t="str">
        <x:v>PASS</x:v>
      </x:c>
    </x:row>
    <x:row r="11"/>
    <x:row r="12" ht="15" hidden="0" customHeight="1">
      <x:c r="A12" s="43" t="str">
        <x:v>Control</x:v>
      </x:c>
      <x:c r="B12" s="56" t="str">
        <x:v>Value</x:v>
      </x:c>
      <x:c r="C12" s="56" t="str">
        <x:v>Source</x:v>
      </x:c>
      <x:c r="D12" s="44" t="str">
        <x:v>Status</x:v>
      </x:c>
    </x:row>
    <x:row r="13" ht="15" hidden="0" customHeight="1">
      <x:c r="A13" s="60" t="str">
        <x:v>Major-holder threshold</x:v>
      </x:c>
      <x:c r="B13" s="60" t="str">
        <x:v>1%</x:v>
      </x:c>
      <x:c r="C13" s="60" t="str">
        <x:v>PR #55 frozen snapshot</x:v>
      </x:c>
      <x:c r="D13" s="63" t="str">
        <x:v>VERIFIED</x:v>
      </x:c>
    </x:row>
    <x:row r="14" ht="15" hidden="0" customHeight="1">
      <x:c r="A14" s="61" t="str">
        <x:v>Circulating arithmetic</x:v>
      </x:c>
      <x:c r="B14" s="61" t="str">
        <x:v>Exact raw 18-decimal units</x:v>
      </x:c>
      <x:c r="C14" s="61" t="str">
        <x:v>Supply validator</x:v>
      </x:c>
      <x:c r="D14" s="64" t="str">
        <x:v>PASS</x:v>
      </x:c>
    </x:row>
    <x:row r="15" ht="15" hidden="0" customHeight="1">
      <x:c r="A15" s="61" t="str">
        <x:v>Unknown major holders</x:v>
      </x:c>
      <x:c r="B15" s="61" t="str">
        <x:v>Excluded conservatively</x:v>
      </x:c>
      <x:c r="C15" s="61" t="str">
        <x:v>PR #55 methodology</x:v>
      </x:c>
      <x:c r="D15" s="64" t="str">
        <x:v>VERIFIED</x:v>
      </x:c>
    </x:row>
    <x:row r="16" ht="15" hidden="0" customHeight="1">
      <x:c r="A16" s="61" t="str">
        <x:v>AMM liquidity</x:v>
      </x:c>
      <x:c r="B16" s="61" t="str">
        <x:v>Included in circulating</x:v>
      </x:c>
      <x:c r="C16" s="61" t="str">
        <x:v>PancakeSwap V2 pair</x:v>
      </x:c>
      <x:c r="D16" s="64" t="str">
        <x:v>VERIFIED</x:v>
      </x:c>
    </x:row>
    <x:row r="17" ht="15" hidden="0" customHeight="1">
      <x:c r="A17" s="62" t="str">
        <x:v>External submission</x:v>
      </x:c>
      <x:c r="B17" s="62" t="str">
        <x:v>Not performed</x:v>
      </x:c>
      <x:c r="C17" s="62" t="str">
        <x:v>Repository boundary</x:v>
      </x:c>
      <x:c r="D17" s="65" t="str">
        <x:v>NOT_SUBMITTED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4" hidden="0" customWidth="1"/>
    <x:col min="3" max="3" width="42" hidden="0" customWidth="1"/>
  </x:cols>
  <x:sheetData>
    <x:row r="1" ht="19.200000762939453" hidden="0" customHeight="1">
      <x:c r="A1" s="37" t="str">
        <x:v>Evidence Sources</x:v>
      </x:c>
      <x:c r="B1" s="37" t="str">
        <x:v>Evidence Sources</x:v>
      </x:c>
      <x:c r="C1" s="37" t="str">
        <x:v>Evidence Sources</x:v>
      </x:c>
    </x:row>
    <x:row r="2"/>
    <x:row r="3" ht="15" hidden="0" customHeight="1">
      <x:c r="A3" s="43" t="str">
        <x:v>Evidence</x:v>
      </x:c>
      <x:c r="B3" s="56" t="str">
        <x:v>Reference</x:v>
      </x:c>
      <x:c r="C3" s="44" t="str">
        <x:v>Use</x:v>
      </x:c>
    </x:row>
    <x:row r="4" ht="15" hidden="0" customHeight="1">
      <x:c r="A4" s="60" t="str">
        <x:v>Frozen snapshot</x:v>
      </x:c>
      <x:c r="B4" s="60" t="str">
        <x:v>KGEN/registry/CoinMarketCap/kgen_cmc_supply_snapshot.json</x:v>
      </x:c>
      <x:c r="C4" s="60" t="str">
        <x:v>Balances, classifications, supply, block</x:v>
      </x:c>
    </x:row>
    <x:row r="5" ht="15" hidden="0" customHeight="1">
      <x:c r="A5" s="61" t="str">
        <x:v>Supply report</x:v>
      </x:c>
      <x:c r="B5" s="61" t="str">
        <x:v>KGEN/registry/CoinMarketCap/KGEN_CMC_CIRCULATING_SUPPLY_VERIFICATION.md</x:v>
      </x:c>
      <x:c r="C5" s="61" t="str">
        <x:v>Methodology and reconciliation</x:v>
      </x:c>
    </x:row>
    <x:row r="6" ht="15" hidden="0" customHeight="1">
      <x:c r="A6" s="61" t="str">
        <x:v>Total Supply API</x:v>
      </x:c>
      <x:c r="B6" s="61" t="str">
        <x:v>https://klineodyssey.github.io/kline-odyssey/api/kgen/total-supply.txt</x:v>
      </x:c>
      <x:c r="C6" s="61" t="str">
        <x:v>CMC plain-text total supply</x:v>
      </x:c>
    </x:row>
    <x:row r="7" ht="15" hidden="0" customHeight="1">
      <x:c r="A7" s="61" t="str">
        <x:v>Circulating Supply API</x:v>
      </x:c>
      <x:c r="B7" s="61" t="str">
        <x:v>https://klineodyssey.github.io/kline-odyssey/api/kgen/circulating-supply.txt</x:v>
      </x:c>
      <x:c r="C7" s="61" t="str">
        <x:v>CMC plain-text circulating supply</x:v>
      </x:c>
    </x:row>
    <x:row r="8" ht="15" hidden="0" customHeight="1">
      <x:c r="A8" s="62" t="str">
        <x:v>Contract</x:v>
      </x:c>
      <x:c r="B8" s="62" t="str">
        <x:v>https://bscscan.com/token/0xba3d3810e58735cb6813bc1cdc5458c0d71432be</x:v>
      </x:c>
      <x:c r="C8" s="62" t="str">
        <x:v>Public token and holder evidence</x:v>
      </x:c>
    </x:row>
  </x:sheetData>
  <x:mergeCells>
    <x:mergeCell ref="A1:C1"/>
  </x:mergeCells>
  <x:pageMargins left="0.7" right="0.7" top="0.75" bottom="0.75" header="0.3" footer="0.3"/>
</x:worksheet>
</file>